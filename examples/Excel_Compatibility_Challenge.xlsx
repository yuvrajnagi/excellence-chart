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drawings/openexcelDrawing1.xml" ContentType="application/vnd.openxmlformats-officedocument.drawing+xml"/>
  <Override PartName="/openexcel/workbook.json" ContentType="application/json"/>
  <Override PartName="/openexcel/manifest.json" ContentType="application/json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ancial Model" state="visible" r:id="rId4"/>
    <sheet sheetId="2" name="Assumptions" state="visible" r:id="rId5"/>
    <sheet sheetId="3" name="Lookup Tables" state="visible" r:id="rId6"/>
    <sheet sheetId="4" name="Dynamic Arrays" state="visible" r:id="rId7"/>
    <sheet sheetId="5" name="Analysis" state="visible" r:id="rId8"/>
    <sheet sheetId="6" name="Errors" state="visible" r:id="rId9"/>
  </sheets>
  <calcPr calcId="171027"/>
</workbook>
</file>

<file path=xl/sharedStrings.xml><?xml version="1.0" encoding="utf-8"?>
<sst xmlns="http://schemas.openxmlformats.org/spreadsheetml/2006/main" count="50" uniqueCount="38">
  <si>
    <t>Year</t>
  </si>
  <si>
    <t>Revenue</t>
  </si>
  <si>
    <t>Costs</t>
  </si>
  <si>
    <t>Operating profit</t>
  </si>
  <si>
    <t>Tax</t>
  </si>
  <si>
    <t>Net profit</t>
  </si>
  <si>
    <t>Net present value</t>
  </si>
  <si>
    <t>Nested decision</t>
  </si>
  <si>
    <t>Metric</t>
  </si>
  <si>
    <t>Value</t>
  </si>
  <si>
    <t>Revenue growth</t>
  </si>
  <si>
    <t>Cost ratio</t>
  </si>
  <si>
    <t>Tax rate</t>
  </si>
  <si>
    <t>Discount rate</t>
  </si>
  <si>
    <t>Initial revenue</t>
  </si>
  <si>
    <t>Start date</t>
  </si>
  <si>
    <t>SKU</t>
  </si>
  <si>
    <t>Product</t>
  </si>
  <si>
    <t>Price</t>
  </si>
  <si>
    <t>P100</t>
  </si>
  <si>
    <t>Notebook</t>
  </si>
  <si>
    <t>P200</t>
  </si>
  <si>
    <t>Keyboard</t>
  </si>
  <si>
    <t>P300</t>
  </si>
  <si>
    <t>Monitor</t>
  </si>
  <si>
    <t>Exact lookup</t>
  </si>
  <si>
    <t>Sequence</t>
  </si>
  <si>
    <t>Filtered prices</t>
  </si>
  <si>
    <t>LET calculation</t>
  </si>
  <si>
    <t>Region</t>
  </si>
  <si>
    <t>Quarter</t>
  </si>
  <si>
    <t>Sales</t>
  </si>
  <si>
    <t>Q1</t>
  </si>
  <si>
    <t>Q2</t>
  </si>
  <si>
    <t>Total</t>
  </si>
  <si>
    <t>North</t>
  </si>
  <si>
    <t>South</t>
  </si>
  <si>
    <t>Deliberate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</si>
</sst>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($#,##0.00)"/>
    <numFmt numFmtId="165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  <sz val="12"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/>
    <xf numFmtId="164" fontId="0" fillId="0" borderId="0" xfId="0" applyNumberFormat="1" applyAlignment="1"/>
    <xf numFmtId="165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n-US"/>
              <a:t>Revenue and net profit</a:t>
            </a:r>
          </a:p>
        </c:rich>
      </c:tx>
      <c:overlay val="0"/>
    </c:title>
    <c:plotArea>
      <c:layout/>
      <c:barChart>
        <c:barDir val="col"/>
        <c:grouping val="clustered"/>
        <c:ser>
          <c:idx val="0"/>
          <c:order val="0"/>
          <c:tx>
            <c:v>Revenue</c:v>
          </c:tx>
          <c:spPr>
            <a:solidFill>
              <a:srgbClr val="4472C4"/>
            </a:solidFill>
          </c:spPr>
          <c:cat>
            <c:strRef>
              <c:f>'Financial Model'!A2:A6</c:f>
              <c:strCach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strCache>
            </c:strRef>
          </c:cat>
          <c:val>
            <c:numRef>
              <c:f>'Financial Model'!B2:B6</c:f>
              <c:numCache>
                <c:formatCode>General</c:formatCode>
                <c:ptCount val="5"/>
                <c:pt idx="0">
                  <c:v>120000</c:v>
                </c:pt>
                <c:pt idx="1">
                  <c:v>134400</c:v>
                </c:pt>
                <c:pt idx="2">
                  <c:v>150528</c:v>
                </c:pt>
                <c:pt idx="3">
                  <c:v>168591.36000000002</c:v>
                </c:pt>
                <c:pt idx="4">
                  <c:v>188822.32320000004</c:v>
                </c:pt>
              </c:numCache>
            </c:numRef>
          </c:val>
        </c:ser>
        <c:ser>
          <c:idx val="1"/>
          <c:order val="1"/>
          <c:tx>
            <c:v>Net profit</c:v>
          </c:tx>
          <c:spPr>
            <a:solidFill>
              <a:srgbClr val="4DAA77"/>
            </a:solidFill>
          </c:spPr>
          <c:cat>
            <c:strRef>
              <c:f>'Financial Model'!A2:A6</c:f>
              <c:strCach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strCache>
            </c:strRef>
          </c:cat>
          <c:val>
            <c:numRef>
              <c:f>'Financial Model'!F2:F6</c:f>
              <c:numCache>
                <c:formatCode>General</c:formatCode>
                <c:ptCount val="5"/>
                <c:pt idx="0">
                  <c:v>39816</c:v>
                </c:pt>
                <c:pt idx="1">
                  <c:v>44593.92</c:v>
                </c:pt>
                <c:pt idx="2">
                  <c:v>49945.19040000001</c:v>
                </c:pt>
                <c:pt idx="3">
                  <c:v>55938.61324800001</c:v>
                </c:pt>
                <c:pt idx="4">
                  <c:v>62651.246837760016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  <c:crosses val="autoZero"/>
      </c:catAx>
      <c:valAx>
        <c:axId val="200"/>
        <c:scaling>
          <c:orientation val="minMax"/>
        </c:scaling>
        <c:delete val="0"/>
        <c:axPos val="l"/>
        <c:crossAx val="100"/>
        <c:crosses val="autoZero"/>
      </c:valAx>
    </c:plotArea>
    <c:legend>
      <c:legendPos val="b"/>
      <c:overlay val="0"/>
    </c:legend>
    <c:plotVisOnly val="1"/>
    <c:dispBlanksAs val="gap"/>
  </c:chart>
</c:chartSpace>
</file>

<file path=xl/drawings/_rels/openexcelDrawing1.xml.rels><Relationships xmlns="http://schemas.openxmlformats.org/package/2006/relationships"><Relationship Id="rIdChart1" Type="http://schemas.openxmlformats.org/officeDocument/2006/relationships/chart" Target="../charts/chart1.xml"/></Relationships>
</file>

<file path=xl/drawings/openexcel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0</xdr:rowOff>
    </xdr:from>
    <xdr:ext cx="6191250" cy="2857500"/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Id="rIdOpenExcelChart" Type="http://schemas.openxmlformats.org/officeDocument/2006/relationships/drawing" Target="../drawings/openexcel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2026</v>
      </c>
      <c r="B2" s="2">
        <f>'Assumptions'!$B$6</f>
        <v>120000</v>
      </c>
      <c r="C2" s="2">
        <f>B2*'Assumptions'!$B$3</f>
        <v>69600</v>
      </c>
      <c r="D2" s="2">
        <f>B2-C2</f>
        <v>50400</v>
      </c>
      <c r="E2" s="2">
        <f>D2*'Assumptions'!$B$4</f>
        <v>10584</v>
      </c>
      <c r="F2" s="2">
        <f>D2-E2</f>
        <v>39816</v>
      </c>
    </row>
    <row r="3" spans="1:6" x14ac:dyDescent="0.25">
      <c r="A3">
        <v>2027</v>
      </c>
      <c r="B3" s="2">
        <f>B2*(1+'Assumptions'!$B$2)</f>
        <v>134400</v>
      </c>
      <c r="C3" s="2">
        <f>B3*'Assumptions'!$B$3</f>
        <v>77952</v>
      </c>
      <c r="D3" s="2">
        <f>B3-C3</f>
        <v>56448</v>
      </c>
      <c r="E3" s="2">
        <f>D3*'Assumptions'!$B$4</f>
        <v>11854.08</v>
      </c>
      <c r="F3" s="2">
        <f>D3-E3</f>
        <v>44593.92</v>
      </c>
    </row>
    <row r="4" spans="1:6" x14ac:dyDescent="0.25">
      <c r="A4">
        <v>2028</v>
      </c>
      <c r="B4" s="2">
        <f>B3*(1+'Assumptions'!$B$2)</f>
        <v>150528</v>
      </c>
      <c r="C4" s="2">
        <f>B4*'Assumptions'!$B$3</f>
        <v>87306.23999999999</v>
      </c>
      <c r="D4" s="2">
        <f>B4-C4</f>
        <v>63221.76000000001</v>
      </c>
      <c r="E4" s="2">
        <f>D4*'Assumptions'!$B$4</f>
        <v>13276.5696</v>
      </c>
      <c r="F4" s="2">
        <f>D4-E4</f>
        <v>49945.19040000001</v>
      </c>
    </row>
    <row r="5" spans="1:6" x14ac:dyDescent="0.25">
      <c r="A5">
        <v>2029</v>
      </c>
      <c r="B5" s="2">
        <f>B4*(1+'Assumptions'!$B$2)</f>
        <v>168591.36000000002</v>
      </c>
      <c r="C5" s="2">
        <f>B5*'Assumptions'!$B$3</f>
        <v>97782.9888</v>
      </c>
      <c r="D5" s="2">
        <f>B5-C5</f>
        <v>70808.37120000001</v>
      </c>
      <c r="E5" s="2">
        <f>D5*'Assumptions'!$B$4</f>
        <v>14869.757952000002</v>
      </c>
      <c r="F5" s="2">
        <f>D5-E5</f>
        <v>55938.61324800001</v>
      </c>
    </row>
    <row r="6" spans="1:6" x14ac:dyDescent="0.25">
      <c r="A6">
        <v>2030</v>
      </c>
      <c r="B6" s="2">
        <f>B5*(1+'Assumptions'!$B$2)</f>
        <v>188822.32320000004</v>
      </c>
      <c r="C6" s="2">
        <f>B6*'Assumptions'!$B$3</f>
        <v>109516.94745600002</v>
      </c>
      <c r="D6" s="2">
        <f>B6-C6</f>
        <v>79305.37574400002</v>
      </c>
      <c r="E6" s="2">
        <f>D6*'Assumptions'!$B$4</f>
        <v>16654.128906240003</v>
      </c>
      <c r="F6" s="2">
        <f>D6-E6</f>
        <v>62651.246837760016</v>
      </c>
    </row>
    <row r="8" spans="1:2" x14ac:dyDescent="0.25">
      <c r="A8" s="1" t="s">
        <v>6</v>
      </c>
      <c r="B8" s="2">
        <f>NPV('Assumptions'!B5,F2:F6)</f>
        <v>198502.80438781853</v>
      </c>
    </row>
    <row r="10" spans="1:2" x14ac:dyDescent="0.25">
      <c r="A10" s="1" t="s">
        <v>7</v>
      </c>
      <c r="B10" t="str">
        <f>IFERROR(IF(AVERAGE(F2:F6)&gt;40000,"Healthy","Review"),"Check inputs")</f>
        <v>Healthy</v>
      </c>
    </row>
  </sheetData>
  <conditionalFormatting sqref="F2:F6">
    <cfRule type="colorScale" priority="1">
      <colorScale>
        <cfvo type="min"/>
        <cfvo type="max"/>
        <color rgb="FFF8696B"/>
        <color rgb="FF63BE7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  <drawing r:id="rIdOpenExcelChar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2" x14ac:dyDescent="0.25">
      <c r="A1" s="1" t="s">
        <v>8</v>
      </c>
      <c r="B1" s="1" t="s">
        <v>9</v>
      </c>
    </row>
    <row r="2" spans="1:2" x14ac:dyDescent="0.25">
      <c r="A2" t="s">
        <v>10</v>
      </c>
      <c r="B2">
        <v>0.12</v>
      </c>
    </row>
    <row r="3" spans="1:2" x14ac:dyDescent="0.25">
      <c r="A3" t="s">
        <v>11</v>
      </c>
      <c r="B3">
        <v>0.58</v>
      </c>
    </row>
    <row r="4" spans="1:2" x14ac:dyDescent="0.25">
      <c r="A4" t="s">
        <v>12</v>
      </c>
      <c r="B4">
        <v>0.21</v>
      </c>
    </row>
    <row r="5" spans="1:2" x14ac:dyDescent="0.25">
      <c r="A5" t="s">
        <v>13</v>
      </c>
      <c r="B5">
        <v>0.08</v>
      </c>
    </row>
    <row r="6" spans="1:2" x14ac:dyDescent="0.25">
      <c r="A6" t="s">
        <v>14</v>
      </c>
      <c r="B6">
        <v>120000</v>
      </c>
    </row>
    <row r="7" spans="1:2" x14ac:dyDescent="0.25">
      <c r="A7" s="3" t="s">
        <v>15</v>
      </c>
      <c r="B7" s="3">
        <v>46023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3" x14ac:dyDescent="0.25">
      <c r="A1" s="1" t="s">
        <v>16</v>
      </c>
      <c r="B1" s="1" t="s">
        <v>17</v>
      </c>
      <c r="C1" s="1" t="s">
        <v>18</v>
      </c>
    </row>
    <row r="2" spans="1:3" x14ac:dyDescent="0.25">
      <c r="A2" t="s">
        <v>19</v>
      </c>
      <c r="B2" t="s">
        <v>20</v>
      </c>
      <c r="C2">
        <v>12</v>
      </c>
    </row>
    <row r="3" spans="1:3" x14ac:dyDescent="0.25">
      <c r="A3" t="s">
        <v>21</v>
      </c>
      <c r="B3" t="s">
        <v>22</v>
      </c>
      <c r="C3">
        <v>75</v>
      </c>
    </row>
    <row r="4" spans="1:3" x14ac:dyDescent="0.25">
      <c r="A4" t="s">
        <v>23</v>
      </c>
      <c r="B4" t="s">
        <v>24</v>
      </c>
      <c r="C4">
        <v>240</v>
      </c>
    </row>
    <row r="7" spans="1:2" x14ac:dyDescent="0.25">
      <c r="A7" s="1" t="s">
        <v>25</v>
      </c>
      <c r="B7">
        <f>XLOOKUP("P200",A2:A4,C2:C4)</f>
        <v>75</v>
      </c>
    </row>
    <row r="8" spans="2:2" x14ac:dyDescent="0.25">
      <c r="B8">
        <f>VLOOKUP("P300",A2:C4,3,FALSE)</f>
        <v>240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5" x14ac:dyDescent="0.25">
      <c r="A1" s="1" t="s">
        <v>26</v>
      </c>
      <c r="E1" s="1" t="s">
        <v>27</v>
      </c>
    </row>
    <row r="2" spans="1:5" x14ac:dyDescent="0.25">
      <c r="A2">
        <f>SEQUENCE(5,3,1,1)</f>
        <v>1</v>
      </c>
      <c r="E2">
        <f>FILTER('Lookup Tables'!C2:C4,'Lookup Tables'!C2:C4&gt;20)</f>
        <v>75</v>
      </c>
    </row>
    <row r="9" spans="1:1" x14ac:dyDescent="0.25">
      <c r="A9" s="1" t="s">
        <v>28</v>
      </c>
    </row>
    <row r="10" spans="1:1" x14ac:dyDescent="0.25">
      <c r="A10">
        <f>LET(revenue,120000,cost,70000,revenue-cost)</f>
        <v>50000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9" x14ac:dyDescent="0.25">
      <c r="A1" s="1" t="s">
        <v>29</v>
      </c>
      <c r="B1" s="1" t="s">
        <v>30</v>
      </c>
      <c r="C1" s="1" t="s">
        <v>31</v>
      </c>
      <c r="F1" s="1" t="s">
        <v>29</v>
      </c>
      <c r="G1" s="1" t="s">
        <v>32</v>
      </c>
      <c r="H1" s="1" t="s">
        <v>33</v>
      </c>
      <c r="I1" s="1" t="s">
        <v>34</v>
      </c>
    </row>
    <row r="2" spans="1:9" x14ac:dyDescent="0.25">
      <c r="A2" t="s">
        <v>35</v>
      </c>
      <c r="B2" t="s">
        <v>32</v>
      </c>
      <c r="C2">
        <v>120</v>
      </c>
      <c r="F2" t="s">
        <v>35</v>
      </c>
      <c r="G2">
        <v>150</v>
      </c>
      <c r="H2">
        <v>160</v>
      </c>
      <c r="I2">
        <v>310</v>
      </c>
    </row>
    <row r="3" spans="1:9" x14ac:dyDescent="0.25">
      <c r="A3" t="s">
        <v>36</v>
      </c>
      <c r="B3" t="s">
        <v>32</v>
      </c>
      <c r="C3">
        <v>95</v>
      </c>
      <c r="F3" t="s">
        <v>36</v>
      </c>
      <c r="G3">
        <v>95</v>
      </c>
      <c r="H3">
        <v>140</v>
      </c>
      <c r="I3">
        <v>235</v>
      </c>
    </row>
    <row r="4" spans="1:9" x14ac:dyDescent="0.25">
      <c r="A4" t="s">
        <v>35</v>
      </c>
      <c r="B4" t="s">
        <v>33</v>
      </c>
      <c r="C4">
        <v>160</v>
      </c>
      <c r="F4" t="s">
        <v>34</v>
      </c>
      <c r="G4">
        <v>245</v>
      </c>
      <c r="H4">
        <v>300</v>
      </c>
      <c r="I4">
        <v>545</v>
      </c>
    </row>
    <row r="5" spans="1:3" x14ac:dyDescent="0.25">
      <c r="A5" t="s">
        <v>36</v>
      </c>
      <c r="B5" t="s">
        <v>33</v>
      </c>
      <c r="C5">
        <v>140</v>
      </c>
    </row>
    <row r="6" spans="1:3" x14ac:dyDescent="0.25">
      <c r="A6" t="s">
        <v>35</v>
      </c>
      <c r="B6" t="s">
        <v>32</v>
      </c>
      <c r="C6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1" x14ac:dyDescent="0.25">
      <c r="A1" s="1" t="s">
        <v>37</v>
      </c>
    </row>
    <row r="2" spans="1:1" x14ac:dyDescent="0.25">
      <c r="A2" t="e">
        <f>1/0</f>
        <v>#DIV/0!</v>
      </c>
    </row>
    <row r="3" spans="1:1" x14ac:dyDescent="0.25">
      <c r="A3" t="e">
        <f>UNKNOWNFUNCTION(1)</f>
        <v>#NAME?</v>
      </c>
    </row>
    <row r="4" spans="1:1" x14ac:dyDescent="0.25">
      <c r="A4" t="e">
        <f>A5</f>
        <v>#VALUE!</v>
      </c>
    </row>
    <row r="5" spans="1:1" x14ac:dyDescent="0.25">
      <c r="A5" t="e">
        <f>A4</f>
        <v>#VALUE!</v>
      </c>
    </row>
    <row r="6" spans="1:1" x14ac:dyDescent="0.25">
      <c r="A6" t="e">
        <f>SQRT(-1)</f>
        <v>#NUM!</v>
      </c>
    </row>
    <row r="7" spans="1:1" x14ac:dyDescent="0.25">
      <c r="A7" t="str">
        <f>IFERROR(A2,"Handled")</f>
        <v>Handled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Financial Model</vt:lpstr>
      <vt:lpstr>Assumptions</vt:lpstr>
      <vt:lpstr>Lookup Tables</vt:lpstr>
      <vt:lpstr>Dynamic Arrays</vt:lpstr>
      <vt:lpstr>Analysis</vt:lpstr>
      <vt:lpstr>Errors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OpenExcel</dc:creator>
  <dc:title/>
  <dc:subject/>
  <dc:description/>
  <cp:keywords/>
  <cp:category/>
  <cp:lastModifiedBy>Unknown</cp:lastModifiedBy>
  <dcterms:created xsi:type="dcterms:W3CDTF">2026-10-23T08:03:08Z</dcterms:created>
  <dcterms:modified xsi:type="dcterms:W3CDTF">2026-10-23T08:03:08Z</dcterms:modified>
</cp:coreProperties>
</file>